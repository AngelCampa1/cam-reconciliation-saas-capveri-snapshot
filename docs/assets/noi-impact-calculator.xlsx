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Translate CAM under-recovery, caps, and leakage into NOI valuation impact.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NOI Impact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Translate CAM under-recovery, caps, and leakage into NOI valuation impact.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Annual CAM leakage</t>
        </is>
      </c>
      <c r="B5" s="7" t="n">
        <v>40000</v>
      </c>
      <c r="C5" s="2" t="n"/>
      <c r="D5" s="2" t="n"/>
      <c r="E5" s="2" t="n"/>
    </row>
    <row r="6" ht="22" customHeight="1">
      <c r="A6" s="4" t="inlineStr">
        <is>
          <t>Recoverable cap credit</t>
        </is>
      </c>
      <c r="B6" s="7" t="n">
        <v>12000</v>
      </c>
      <c r="C6" s="2" t="n"/>
      <c r="D6" s="2" t="n"/>
      <c r="E6" s="2" t="n"/>
    </row>
    <row r="7" ht="22" customHeight="1">
      <c r="A7" s="4" t="inlineStr">
        <is>
          <t>Collection probability</t>
        </is>
      </c>
      <c r="B7" s="8" t="n">
        <v>0.75</v>
      </c>
      <c r="C7" s="2" t="n"/>
      <c r="D7" s="2" t="n"/>
      <c r="E7" s="2" t="n"/>
    </row>
    <row r="8" ht="22" customHeight="1">
      <c r="A8" s="4" t="inlineStr">
        <is>
          <t>NOI cap rate</t>
        </is>
      </c>
      <c r="B8" s="8" t="n">
        <v>0.065</v>
      </c>
      <c r="C8" s="2" t="n"/>
      <c r="D8" s="2" t="n"/>
      <c r="E8" s="2" t="n"/>
    </row>
    <row r="9" ht="22" customHeight="1">
      <c r="A9" s="4" t="inlineStr">
        <is>
          <t>Properties affected</t>
        </is>
      </c>
      <c r="B9" s="9" t="n">
        <v>5</v>
      </c>
      <c r="C9" s="2" t="n"/>
      <c r="D9" s="2" t="n"/>
      <c r="E9" s="2" t="n"/>
    </row>
    <row r="10" ht="22" customHeight="1">
      <c r="A10" s="4" t="inlineStr">
        <is>
          <t>Implementation cost</t>
        </is>
      </c>
      <c r="B10" s="7" t="n">
        <v>25000</v>
      </c>
      <c r="C10" s="2" t="n"/>
      <c r="D10" s="2" t="n"/>
      <c r="E10" s="2" t="n"/>
    </row>
    <row r="11" ht="22" customHeight="1">
      <c r="A11" s="4" t="inlineStr">
        <is>
          <t>Annual software/process cost</t>
        </is>
      </c>
      <c r="B11" s="7" t="n">
        <v>12000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Gross NOI opportunity</t>
        </is>
      </c>
      <c r="B16" s="11">
        <f>B5+B6</f>
        <v/>
      </c>
      <c r="C16" s="11">
        <f>(B5+B6)*B9</f>
        <v/>
      </c>
      <c r="D16" s="11">
        <f>C16-B16</f>
        <v/>
      </c>
      <c r="E16" s="4" t="inlineStr">
        <is>
          <t>Scale by affected properties.</t>
        </is>
      </c>
    </row>
    <row r="17" ht="22" customHeight="1">
      <c r="A17" s="3" t="inlineStr">
        <is>
          <t>Probability-weighted NOI</t>
        </is>
      </c>
      <c r="B17" s="12">
        <f>B16*B7</f>
        <v/>
      </c>
      <c r="C17" s="12">
        <f>C16*B7</f>
        <v/>
      </c>
      <c r="D17" s="12">
        <f>C17-B17</f>
        <v/>
      </c>
      <c r="E17" s="4" t="inlineStr">
        <is>
          <t>Risk-adjust recoverable opportunity.</t>
        </is>
      </c>
    </row>
    <row r="18" ht="22" customHeight="1">
      <c r="A18" s="3" t="inlineStr">
        <is>
          <t>Value impact</t>
        </is>
      </c>
      <c r="B18" s="12">
        <f>B17/B8</f>
        <v/>
      </c>
      <c r="C18" s="12">
        <f>C17/B8</f>
        <v/>
      </c>
      <c r="D18" s="12">
        <f>C18-B18</f>
        <v/>
      </c>
      <c r="E18" s="4" t="inlineStr">
        <is>
          <t>Cap-rate valuation estimate.</t>
        </is>
      </c>
    </row>
    <row r="19" ht="22" customHeight="1">
      <c r="A19" s="3" t="inlineStr">
        <is>
          <t>Net first-year benefit</t>
        </is>
      </c>
      <c r="B19" s="12">
        <f>B17-B10-B11</f>
        <v/>
      </c>
      <c r="C19" s="12">
        <f>C17-B10-B11</f>
        <v/>
      </c>
      <c r="D19" s="12">
        <f>C19-B19</f>
        <v/>
      </c>
      <c r="E19" s="4" t="inlineStr">
        <is>
          <t>Subtract implementation and process cost.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Positive ROI</t>
        </is>
      </c>
      <c r="B23" s="14">
        <f>IF(C19&gt;0,"GO","REVIEW")</f>
        <v/>
      </c>
      <c r="C23" s="2" t="n"/>
      <c r="D23" s="2" t="n"/>
      <c r="E23" s="2" t="n"/>
    </row>
    <row r="24" ht="22" customHeight="1">
      <c r="A24" s="3" t="inlineStr">
        <is>
          <t>Large value impact</t>
        </is>
      </c>
      <c r="B24" s="14">
        <f>IF(C18&gt;500000,"PRIORITIZE","OK")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NOI Impact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Translate CAM under-recovery, caps, and leakage into NOI valuation impact.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NOI Impact Calculator</dc:title>
  <dc:subject xmlns:dc="http://purl.org/dc/elements/1.1/">NOI sensitivity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