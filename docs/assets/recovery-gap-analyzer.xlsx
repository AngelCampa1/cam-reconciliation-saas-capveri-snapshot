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1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Estimate unrecovered CAM and translate the gap into NOI and value impact.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Recovery Gap Analyzer | CapVeri</t>
        </is>
      </c>
      <c r="B1" s="2" t="n"/>
      <c r="C1" s="2" t="n"/>
      <c r="D1" s="2" t="n"/>
      <c r="E1" s="2" t="n"/>
    </row>
    <row r="2" ht="22" customHeight="1">
      <c r="A2" s="6" t="inlineStr">
        <is>
          <t>Estimate unrecovered CAM and translate the gap into NOI and value impact.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Recoverable per lease</t>
        </is>
      </c>
      <c r="B5" s="7" t="n">
        <v>450000</v>
      </c>
      <c r="C5" s="2" t="n"/>
      <c r="D5" s="2" t="n"/>
      <c r="E5" s="2" t="n"/>
    </row>
    <row r="6" ht="22" customHeight="1">
      <c r="A6" s="4" t="inlineStr">
        <is>
          <t>Actually billed</t>
        </is>
      </c>
      <c r="B6" s="7" t="n">
        <v>410000</v>
      </c>
      <c r="C6" s="2" t="n"/>
      <c r="D6" s="2" t="n"/>
      <c r="E6" s="2" t="n"/>
    </row>
    <row r="7" ht="22" customHeight="1">
      <c r="A7" s="4" t="inlineStr">
        <is>
          <t>Tenant share</t>
        </is>
      </c>
      <c r="B7" s="8" t="n">
        <v>0.08500000000000001</v>
      </c>
      <c r="C7" s="2" t="n"/>
      <c r="D7" s="2" t="n"/>
      <c r="E7" s="2" t="n"/>
    </row>
    <row r="8" ht="22" customHeight="1">
      <c r="A8" s="4" t="inlineStr">
        <is>
          <t>Number of similar tenants</t>
        </is>
      </c>
      <c r="B8" s="9" t="n">
        <v>12</v>
      </c>
      <c r="C8" s="2" t="n"/>
      <c r="D8" s="2" t="n"/>
      <c r="E8" s="2" t="n"/>
    </row>
    <row r="9" ht="22" customHeight="1">
      <c r="A9" s="4" t="inlineStr">
        <is>
          <t>NOI cap rate</t>
        </is>
      </c>
      <c r="B9" s="10" t="n">
        <v>0.065</v>
      </c>
      <c r="C9" s="2" t="n"/>
      <c r="D9" s="2" t="n"/>
      <c r="E9" s="2" t="n"/>
    </row>
    <row r="10" ht="22" customHeight="1">
      <c r="A10" s="4" t="inlineStr">
        <is>
          <t>Collection probability</t>
        </is>
      </c>
      <c r="B10" s="10" t="n">
        <v>0.75</v>
      </c>
      <c r="C10" s="2" t="n"/>
      <c r="D10" s="2" t="n"/>
      <c r="E10" s="2" t="n"/>
    </row>
    <row r="11" ht="22" customHeight="1">
      <c r="A11" s="4" t="inlineStr">
        <is>
          <t>Review cost</t>
        </is>
      </c>
      <c r="B11" s="7" t="n">
        <v>8500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1" t="inlineStr">
        <is>
          <t>Metric</t>
        </is>
      </c>
      <c r="B15" s="11" t="inlineStr">
        <is>
          <t>Base</t>
        </is>
      </c>
      <c r="C15" s="11" t="inlineStr">
        <is>
          <t>Adjusted</t>
        </is>
      </c>
      <c r="D15" s="11" t="inlineStr">
        <is>
          <t>Variance</t>
        </is>
      </c>
      <c r="E15" s="11" t="inlineStr">
        <is>
          <t>Review note</t>
        </is>
      </c>
    </row>
    <row r="16" ht="22" customHeight="1">
      <c r="A16" s="3" t="inlineStr">
        <is>
          <t>Portfolio leakage</t>
        </is>
      </c>
      <c r="B16" s="12">
        <f>B5-B6</f>
        <v/>
      </c>
      <c r="C16" s="12">
        <f>(B5-B6)*B8</f>
        <v/>
      </c>
      <c r="D16" s="12">
        <f>C16-B16</f>
        <v/>
      </c>
      <c r="E16" s="4" t="inlineStr">
        <is>
          <t>Scale one-tenant gap across similar tenants.</t>
        </is>
      </c>
    </row>
    <row r="17" ht="22" customHeight="1">
      <c r="A17" s="3" t="inlineStr">
        <is>
          <t>Recoverable tenant gap</t>
        </is>
      </c>
      <c r="B17" s="13">
        <f>B16*B7</f>
        <v/>
      </c>
      <c r="C17" s="13">
        <f>C16*B7*B10</f>
        <v/>
      </c>
      <c r="D17" s="13">
        <f>C17-B17</f>
        <v/>
      </c>
      <c r="E17" s="4" t="inlineStr">
        <is>
          <t>Probability-weight expected recovery.</t>
        </is>
      </c>
    </row>
    <row r="18" ht="22" customHeight="1">
      <c r="A18" s="3" t="inlineStr">
        <is>
          <t>NOI value impact</t>
        </is>
      </c>
      <c r="B18" s="13">
        <f>B17/B9</f>
        <v/>
      </c>
      <c r="C18" s="13">
        <f>C17/B9</f>
        <v/>
      </c>
      <c r="D18" s="13">
        <f>C18-B18</f>
        <v/>
      </c>
      <c r="E18" s="4" t="inlineStr">
        <is>
          <t>Estimate valuation effect.</t>
        </is>
      </c>
    </row>
    <row r="19" ht="22" customHeight="1">
      <c r="A19" s="3" t="inlineStr">
        <is>
          <t>Net opportunity</t>
        </is>
      </c>
      <c r="B19" s="13">
        <f>B17-B11</f>
        <v/>
      </c>
      <c r="C19" s="13">
        <f>C17-B11</f>
        <v/>
      </c>
      <c r="D19" s="13">
        <f>C19-B19</f>
        <v/>
      </c>
      <c r="E19" s="4" t="inlineStr">
        <is>
          <t>Compare recovery to review cost.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4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Material gap</t>
        </is>
      </c>
      <c r="B23" s="15">
        <f>IF(C19&gt;25000,"PRIORITIZE","MONITOR")</f>
        <v/>
      </c>
      <c r="C23" s="2" t="n"/>
      <c r="D23" s="2" t="n"/>
      <c r="E23" s="2" t="n"/>
    </row>
    <row r="24" ht="22" customHeight="1">
      <c r="A24" s="3" t="inlineStr">
        <is>
          <t>Low probability</t>
        </is>
      </c>
      <c r="B24" s="15">
        <f>IF(B10&lt;0.6,"REVIEW","OK")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5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Recovery Gap Analyzer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Estimate unrecovered CAM and translate the gap into NOI and value impact.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Recovery Gap Analyzer</dc:title>
  <dc:subject xmlns:dc="http://purl.org/dc/elements/1.1/">recovery leakage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