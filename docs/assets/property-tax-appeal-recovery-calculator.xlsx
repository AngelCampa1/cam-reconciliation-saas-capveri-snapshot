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Model tenant credits, rebills, and NOI impact after a property tax appeal.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Property Tax Appeal Recovery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Model tenant credits, rebills, and NOI impact after a property tax appeal.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Original tax bill</t>
        </is>
      </c>
      <c r="B5" s="7" t="n">
        <v>210000</v>
      </c>
      <c r="C5" s="2" t="n"/>
      <c r="D5" s="2" t="n"/>
      <c r="E5" s="2" t="n"/>
    </row>
    <row r="6" ht="22" customHeight="1">
      <c r="A6" s="4" t="inlineStr">
        <is>
          <t>Appealed tax bill</t>
        </is>
      </c>
      <c r="B6" s="7" t="n">
        <v>185000</v>
      </c>
      <c r="C6" s="2" t="n"/>
      <c r="D6" s="2" t="n"/>
      <c r="E6" s="2" t="n"/>
    </row>
    <row r="7" ht="22" customHeight="1">
      <c r="A7" s="4" t="inlineStr">
        <is>
          <t>Tenant tax share</t>
        </is>
      </c>
      <c r="B7" s="8" t="n">
        <v>0.08500000000000001</v>
      </c>
      <c r="C7" s="2" t="n"/>
      <c r="D7" s="2" t="n"/>
      <c r="E7" s="2" t="n"/>
    </row>
    <row r="8" ht="22" customHeight="1">
      <c r="A8" s="4" t="inlineStr">
        <is>
          <t>Taxes previously billed</t>
        </is>
      </c>
      <c r="B8" s="7" t="n">
        <v>205000</v>
      </c>
      <c r="C8" s="2" t="n"/>
      <c r="D8" s="2" t="n"/>
      <c r="E8" s="2" t="n"/>
    </row>
    <row r="9" ht="22" customHeight="1">
      <c r="A9" s="4" t="inlineStr">
        <is>
          <t>Refund timing reserve</t>
        </is>
      </c>
      <c r="B9" s="9" t="n">
        <v>0.1</v>
      </c>
      <c r="C9" s="2" t="n"/>
      <c r="D9" s="2" t="n"/>
      <c r="E9" s="2" t="n"/>
    </row>
    <row r="10" ht="22" customHeight="1">
      <c r="A10" s="4" t="inlineStr">
        <is>
          <t>Admin handling fee</t>
        </is>
      </c>
      <c r="B10" s="9" t="n">
        <v>0.02</v>
      </c>
      <c r="C10" s="2" t="n"/>
      <c r="D10" s="2" t="n"/>
      <c r="E10" s="2" t="n"/>
    </row>
    <row r="11" ht="22" customHeight="1">
      <c r="A11" s="4" t="inlineStr">
        <is>
          <t>NOI cap rate</t>
        </is>
      </c>
      <c r="B11" s="9" t="n">
        <v>0.065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Tax savings</t>
        </is>
      </c>
      <c r="B16" s="11">
        <f>B5-B6</f>
        <v/>
      </c>
      <c r="C16" s="11">
        <f>B5-B6</f>
        <v/>
      </c>
      <c r="D16" s="11">
        <f>C16-B16</f>
        <v/>
      </c>
      <c r="E16" s="4" t="inlineStr">
        <is>
          <t>Gross appeal savings.</t>
        </is>
      </c>
    </row>
    <row r="17" ht="22" customHeight="1">
      <c r="A17" s="3" t="inlineStr">
        <is>
          <t>Tenant credit</t>
        </is>
      </c>
      <c r="B17" s="12">
        <f>B16*B7</f>
        <v/>
      </c>
      <c r="C17" s="12">
        <f>B16*B7*(1-B9)</f>
        <v/>
      </c>
      <c r="D17" s="12">
        <f>C17-B17</f>
        <v/>
      </c>
      <c r="E17" s="4" t="inlineStr">
        <is>
          <t>Reserve timing or collection uncertainty.</t>
        </is>
      </c>
    </row>
    <row r="18" ht="22" customHeight="1">
      <c r="A18" s="3" t="inlineStr">
        <is>
          <t>Admin recovery</t>
        </is>
      </c>
      <c r="B18" s="12">
        <f>B16*B10</f>
        <v/>
      </c>
      <c r="C18" s="12">
        <f>C16*B10</f>
        <v/>
      </c>
      <c r="D18" s="12">
        <f>C18-B18</f>
        <v/>
      </c>
      <c r="E18" s="4" t="inlineStr">
        <is>
          <t>Only if lease permits appeal cost recovery.</t>
        </is>
      </c>
    </row>
    <row r="19" ht="22" customHeight="1">
      <c r="A19" s="3" t="inlineStr">
        <is>
          <t>NOI / value impact</t>
        </is>
      </c>
      <c r="B19" s="12">
        <f>(B16-B17+B18)/B11</f>
        <v/>
      </c>
      <c r="C19" s="12">
        <f>(C16-C17+C18)/B11</f>
        <v/>
      </c>
      <c r="D19" s="12">
        <f>C19-B19</f>
        <v/>
      </c>
      <c r="E19" s="4" t="inlineStr">
        <is>
          <t>Estimate retained savings value.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Refund due</t>
        </is>
      </c>
      <c r="B23" s="14">
        <f>IF(C17&gt;0,"CREDIT TRACKING","OK")</f>
        <v/>
      </c>
      <c r="C23" s="2" t="n"/>
      <c r="D23" s="2" t="n"/>
      <c r="E23" s="2" t="n"/>
    </row>
    <row r="24" ht="22" customHeight="1">
      <c r="A24" s="3" t="inlineStr">
        <is>
          <t>Admin fee</t>
        </is>
      </c>
      <c r="B24" s="14">
        <f>IF(B10&gt;0,"VERIFY LEASE","OK")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Property Tax Appeal Recovery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Model tenant credits, rebills, and NOI impact after a property tax appeal.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Property Tax Appeal Recovery Calculator</dc:title>
  <dc:subject xmlns:dc="http://purl.org/dc/elements/1.1/">tax appeal recovery modeling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