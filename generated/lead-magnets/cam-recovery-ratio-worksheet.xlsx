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1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Benchmark billed CAM recovery against recoverable expense pools and portfolio targets.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CAM Recovery Ratio Benchmark Worksheet | CapVeri</t>
        </is>
      </c>
      <c r="B1" s="2" t="n"/>
      <c r="C1" s="2" t="n"/>
      <c r="D1" s="2" t="n"/>
      <c r="E1" s="2" t="n"/>
    </row>
    <row r="2" ht="22" customHeight="1">
      <c r="A2" s="6" t="inlineStr">
        <is>
          <t>Benchmark billed CAM recovery against recoverable expense pools and portfolio targets.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Recoverable CAM pool</t>
        </is>
      </c>
      <c r="B5" s="7" t="n">
        <v>450000</v>
      </c>
      <c r="C5" s="2" t="n"/>
      <c r="D5" s="2" t="n"/>
      <c r="E5" s="2" t="n"/>
    </row>
    <row r="6" ht="22" customHeight="1">
      <c r="A6" s="4" t="inlineStr">
        <is>
          <t>CAM billed to tenants</t>
        </is>
      </c>
      <c r="B6" s="7" t="n">
        <v>408000</v>
      </c>
      <c r="C6" s="2" t="n"/>
      <c r="D6" s="2" t="n"/>
      <c r="E6" s="2" t="n"/>
    </row>
    <row r="7" ht="22" customHeight="1">
      <c r="A7" s="4" t="inlineStr">
        <is>
          <t>Target recovery ratio</t>
        </is>
      </c>
      <c r="B7" s="8" t="n">
        <v>0.97</v>
      </c>
      <c r="C7" s="2" t="n"/>
      <c r="D7" s="2" t="n"/>
      <c r="E7" s="2" t="n"/>
    </row>
    <row r="8" ht="22" customHeight="1">
      <c r="A8" s="4" t="inlineStr">
        <is>
          <t>Known non-recoverable leakage</t>
        </is>
      </c>
      <c r="B8" s="7" t="n">
        <v>12000</v>
      </c>
      <c r="C8" s="2" t="n"/>
      <c r="D8" s="2" t="n"/>
      <c r="E8" s="2" t="n"/>
    </row>
    <row r="9" ht="22" customHeight="1">
      <c r="A9" s="4" t="inlineStr">
        <is>
          <t>Number of properties</t>
        </is>
      </c>
      <c r="B9" s="9" t="n">
        <v>8</v>
      </c>
      <c r="C9" s="2" t="n"/>
      <c r="D9" s="2" t="n"/>
      <c r="E9" s="2" t="n"/>
    </row>
    <row r="10" ht="22" customHeight="1">
      <c r="A10" s="4" t="inlineStr">
        <is>
          <t>NOI cap rate</t>
        </is>
      </c>
      <c r="B10" s="8" t="n">
        <v>0.065</v>
      </c>
      <c r="C10" s="2" t="n"/>
      <c r="D10" s="2" t="n"/>
      <c r="E10" s="2" t="n"/>
    </row>
    <row r="11" ht="22" customHeight="1">
      <c r="A11" s="4" t="inlineStr">
        <is>
          <t>Collection probability</t>
        </is>
      </c>
      <c r="B11" s="8" t="n">
        <v>0.75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Actual recovery ratio</t>
        </is>
      </c>
      <c r="B16" s="11">
        <f>B6/B5</f>
        <v/>
      </c>
      <c r="C16" s="11">
        <f>(B6+B8)/B5</f>
        <v/>
      </c>
      <c r="D16" s="11">
        <f>C16-B16</f>
        <v/>
      </c>
      <c r="E16" s="4" t="inlineStr">
        <is>
          <t>Compare raw and adjusted recovery.</t>
        </is>
      </c>
    </row>
    <row r="17" ht="22" customHeight="1">
      <c r="A17" s="3" t="inlineStr">
        <is>
          <t>Recovery shortfall</t>
        </is>
      </c>
      <c r="B17" s="12">
        <f>MAX(B5*B7-B6,0)</f>
        <v/>
      </c>
      <c r="C17" s="12">
        <f>MAX(B5*B7-(B6+B8),0)</f>
        <v/>
      </c>
      <c r="D17" s="12">
        <f>C17-B17</f>
        <v/>
      </c>
      <c r="E17" s="4" t="inlineStr">
        <is>
          <t>Target-dollar gap.</t>
        </is>
      </c>
    </row>
    <row r="18" ht="22" customHeight="1">
      <c r="A18" s="3" t="inlineStr">
        <is>
          <t>Portfolio opportunity</t>
        </is>
      </c>
      <c r="B18" s="12">
        <f>B17*B9</f>
        <v/>
      </c>
      <c r="C18" s="12">
        <f>C17*B9*B11</f>
        <v/>
      </c>
      <c r="D18" s="12">
        <f>C18-B18</f>
        <v/>
      </c>
      <c r="E18" s="4" t="inlineStr">
        <is>
          <t>Scale across similar properties.</t>
        </is>
      </c>
    </row>
    <row r="19" ht="22" customHeight="1">
      <c r="A19" s="3" t="inlineStr">
        <is>
          <t>Value impact</t>
        </is>
      </c>
      <c r="B19" s="12">
        <f>B18/B10</f>
        <v/>
      </c>
      <c r="C19" s="12">
        <f>C18/B10</f>
        <v/>
      </c>
      <c r="D19" s="12">
        <f>C19-B19</f>
        <v/>
      </c>
      <c r="E19" s="4" t="inlineStr">
        <is>
          <t>Translate recovery gap into value.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Below target</t>
        </is>
      </c>
      <c r="B23" s="14">
        <f>IF(B16&lt;B7,"REVIEW","OK")</f>
        <v/>
      </c>
      <c r="C23" s="2" t="n"/>
      <c r="D23" s="2" t="n"/>
      <c r="E23" s="2" t="n"/>
    </row>
    <row r="24" ht="22" customHeight="1">
      <c r="A24" s="3" t="inlineStr">
        <is>
          <t>Material opportunity</t>
        </is>
      </c>
      <c r="B24" s="14">
        <f>IF(C18&gt;50000,"PRIORITIZE","OK")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CAM Recovery Ratio Benchmark Worksheet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Benchmark billed CAM recovery against recoverable expense pools and portfolio targets.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CAM Recovery Ratio Benchmark Worksheet</dc:title>
  <dc:subject xmlns:dc="http://purl.org/dc/elements/1.1/">recovery ratio benchmarking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