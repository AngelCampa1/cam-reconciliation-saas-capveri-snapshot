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i val="1"/>
      <color rgb="00475569"/>
    </font>
    <font>
      <b val="1"/>
      <color rgb="00111827"/>
    </font>
    <font>
      <b val="1"/>
      <color rgb="001B2F4E"/>
    </font>
  </fonts>
  <fills count="8">
    <fill>
      <patternFill/>
    </fill>
    <fill>
      <patternFill patternType="gray125"/>
    </fill>
    <fill>
      <patternFill patternType="solid">
        <fgColor rgb="001B2F4E"/>
      </patternFill>
    </fill>
    <fill>
      <patternFill patternType="solid">
        <fgColor rgb="000D9488"/>
      </patternFill>
    </fill>
    <fill>
      <patternFill patternType="solid">
        <fgColor rgb="00FFF9C4"/>
      </patternFill>
    </fill>
    <fill>
      <patternFill patternType="solid">
        <fgColor rgb="00E5E7EB"/>
      </patternFill>
    </fill>
    <fill>
      <patternFill patternType="solid">
        <fgColor rgb="00F0FDFA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0" fillId="4" borderId="0" applyAlignment="1" applyProtection="1" pivotButton="0" quotePrefix="0" xfId="0">
      <alignment vertical="center" wrapText="1"/>
      <protection locked="0" hidden="0"/>
    </xf>
    <xf numFmtId="165" fontId="0" fillId="4" borderId="0" applyAlignment="1" applyProtection="1" pivotButton="0" quotePrefix="0" xfId="0">
      <alignment vertical="center" wrapText="1"/>
      <protection locked="0" hidden="0"/>
    </xf>
    <xf numFmtId="10" fontId="0" fillId="4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center" vertical="center" wrapText="1"/>
    </xf>
    <xf numFmtId="10" fontId="5" fillId="6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" t="inlineStr">
        <is>
          <t>Phone Summary | CapVeri</t>
        </is>
      </c>
      <c r="B1" s="2" t="n"/>
    </row>
    <row r="2">
      <c r="A2" s="2" t="n"/>
      <c r="B2" s="2" t="n"/>
    </row>
    <row r="3" ht="34" customHeight="1">
      <c r="A3" s="3" t="inlineStr">
        <is>
          <t>Best use</t>
        </is>
      </c>
      <c r="B3" s="4" t="inlineStr">
        <is>
          <t>Forecast next-year estimates by category using CPI and historical trends.</t>
        </is>
      </c>
    </row>
    <row r="4" ht="34" customHeight="1">
      <c r="A4" s="3" t="inlineStr">
        <is>
          <t>First check</t>
        </is>
      </c>
      <c r="B4" s="4" t="inlineStr">
        <is>
          <t>Confirm the lease allows the recovery method before modeling dollars.</t>
        </is>
      </c>
    </row>
    <row r="5" ht="34" customHeight="1">
      <c r="A5" s="3" t="inlineStr">
        <is>
          <t>Second check</t>
        </is>
      </c>
      <c r="B5" s="4" t="inlineStr">
        <is>
          <t>Tie the GL export, rent roll, and prior-year support to the same period.</t>
        </is>
      </c>
    </row>
    <row r="6" ht="34" customHeight="1">
      <c r="A6" s="3" t="inlineStr">
        <is>
          <t>Desktop step</t>
        </is>
      </c>
      <c r="B6" s="4" t="inlineStr">
        <is>
          <t>Use the Model tab to enter property numbers and review the formulas.</t>
        </is>
      </c>
    </row>
    <row r="7" ht="34" customHeight="1">
      <c r="A7" s="3" t="inlineStr">
        <is>
          <t>Evidence</t>
        </is>
      </c>
      <c r="B7" s="4" t="inlineStr">
        <is>
          <t>Keep the lease excerpt, source reports, reviewer initials, and final archive copy.</t>
        </is>
      </c>
    </row>
    <row r="8" ht="34" customHeight="1">
      <c r="A8" s="3" t="inlineStr">
        <is>
          <t>Next step</t>
        </is>
      </c>
      <c r="B8" s="4" t="inlineStr">
        <is>
          <t>Run the same check in CapVeri during a 30-day trial: https://app.capveri.com/auth/register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5" t="inlineStr">
        <is>
          <t>CAM Estimate Forecaster | CapVeri</t>
        </is>
      </c>
      <c r="B1" s="2" t="n"/>
      <c r="C1" s="2" t="n"/>
      <c r="D1" s="2" t="n"/>
      <c r="E1" s="2" t="n"/>
    </row>
    <row r="2" ht="22" customHeight="1">
      <c r="A2" s="6" t="inlineStr">
        <is>
          <t>Forecast next-year estimates by category using CPI and historical trends.</t>
        </is>
      </c>
      <c r="B2" s="2" t="n"/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1" t="inlineStr">
        <is>
          <t>Inputs</t>
        </is>
      </c>
      <c r="B4" s="2" t="n"/>
      <c r="C4" s="2" t="n"/>
      <c r="D4" s="2" t="n"/>
      <c r="E4" s="2" t="n"/>
    </row>
    <row r="5" ht="22" customHeight="1">
      <c r="A5" s="4" t="inlineStr">
        <is>
          <t>Current-year CAM budget</t>
        </is>
      </c>
      <c r="B5" s="7" t="n">
        <v>450000</v>
      </c>
      <c r="C5" s="2" t="n"/>
      <c r="D5" s="2" t="n"/>
      <c r="E5" s="2" t="n"/>
    </row>
    <row r="6" ht="22" customHeight="1">
      <c r="A6" s="4" t="inlineStr">
        <is>
          <t>Tax growth assumption</t>
        </is>
      </c>
      <c r="B6" s="8" t="n">
        <v>0.06</v>
      </c>
      <c r="C6" s="2" t="n"/>
      <c r="D6" s="2" t="n"/>
      <c r="E6" s="2" t="n"/>
    </row>
    <row r="7" ht="22" customHeight="1">
      <c r="A7" s="4" t="inlineStr">
        <is>
          <t>Insurance growth assumption</t>
        </is>
      </c>
      <c r="B7" s="8" t="n">
        <v>0.12</v>
      </c>
      <c r="C7" s="2" t="n"/>
      <c r="D7" s="2" t="n"/>
      <c r="E7" s="2" t="n"/>
    </row>
    <row r="8" ht="22" customHeight="1">
      <c r="A8" s="4" t="inlineStr">
        <is>
          <t>Contract growth assumption</t>
        </is>
      </c>
      <c r="B8" s="8" t="n">
        <v>0.04</v>
      </c>
      <c r="C8" s="2" t="n"/>
      <c r="D8" s="2" t="n"/>
      <c r="E8" s="2" t="n"/>
    </row>
    <row r="9" ht="22" customHeight="1">
      <c r="A9" s="4" t="inlineStr">
        <is>
          <t>Variable cost share</t>
        </is>
      </c>
      <c r="B9" s="8" t="n">
        <v>0.42</v>
      </c>
      <c r="C9" s="2" t="n"/>
      <c r="D9" s="2" t="n"/>
      <c r="E9" s="2" t="n"/>
    </row>
    <row r="10" ht="22" customHeight="1">
      <c r="A10" s="4" t="inlineStr">
        <is>
          <t>Occupancy assumption</t>
        </is>
      </c>
      <c r="B10" s="8" t="n">
        <v>0.93</v>
      </c>
      <c r="C10" s="2" t="n"/>
      <c r="D10" s="2" t="n"/>
      <c r="E10" s="2" t="n"/>
    </row>
    <row r="11" ht="22" customHeight="1">
      <c r="A11" s="4" t="inlineStr">
        <is>
          <t>Tenant pro-rata share</t>
        </is>
      </c>
      <c r="B11" s="9" t="n">
        <v>0.08500000000000001</v>
      </c>
      <c r="C11" s="2" t="n"/>
      <c r="D11" s="2" t="n"/>
      <c r="E11" s="2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2" t="n"/>
      <c r="B13" s="2" t="n"/>
      <c r="C13" s="2" t="n"/>
      <c r="D13" s="2" t="n"/>
      <c r="E13" s="2" t="n"/>
    </row>
    <row r="14" ht="22" customHeight="1">
      <c r="A14" s="1" t="inlineStr">
        <is>
          <t>Worked Example</t>
        </is>
      </c>
      <c r="B14" s="2" t="n"/>
      <c r="C14" s="2" t="n"/>
      <c r="D14" s="2" t="n"/>
      <c r="E14" s="2" t="n"/>
    </row>
    <row r="15" ht="22" customHeight="1">
      <c r="A15" s="10" t="inlineStr">
        <is>
          <t>Metric</t>
        </is>
      </c>
      <c r="B15" s="10" t="inlineStr">
        <is>
          <t>Base</t>
        </is>
      </c>
      <c r="C15" s="10" t="inlineStr">
        <is>
          <t>Adjusted</t>
        </is>
      </c>
      <c r="D15" s="10" t="inlineStr">
        <is>
          <t>Variance</t>
        </is>
      </c>
      <c r="E15" s="10" t="inlineStr">
        <is>
          <t>Review note</t>
        </is>
      </c>
    </row>
    <row r="16" ht="22" customHeight="1">
      <c r="A16" s="3" t="inlineStr">
        <is>
          <t>Base forecast</t>
        </is>
      </c>
      <c r="B16" s="11">
        <f>B5*(1+B8)</f>
        <v/>
      </c>
      <c r="C16" s="11">
        <f>B5*(1+B6+B7+B8)/3</f>
        <v/>
      </c>
      <c r="D16" s="11">
        <f>C16-B16</f>
        <v/>
      </c>
      <c r="E16" s="4" t="inlineStr">
        <is>
          <t>Blend budget category assumptions.</t>
        </is>
      </c>
    </row>
    <row r="17" ht="22" customHeight="1">
      <c r="A17" s="3" t="inlineStr">
        <is>
          <t>Variable occupancy adjustment</t>
        </is>
      </c>
      <c r="B17" s="12">
        <f>B16*B9</f>
        <v/>
      </c>
      <c r="C17" s="12">
        <f>B16*B9/B10</f>
        <v/>
      </c>
      <c r="D17" s="12">
        <f>C17-B17</f>
        <v/>
      </c>
      <c r="E17" s="4" t="inlineStr">
        <is>
          <t>Adjust variable costs for occupancy.</t>
        </is>
      </c>
    </row>
    <row r="18" ht="22" customHeight="1">
      <c r="A18" s="3" t="inlineStr">
        <is>
          <t>Tenant annual estimate</t>
        </is>
      </c>
      <c r="B18" s="12">
        <f>B16*B11</f>
        <v/>
      </c>
      <c r="C18" s="12">
        <f>C16*B11</f>
        <v/>
      </c>
      <c r="D18" s="12">
        <f>C18-B18</f>
        <v/>
      </c>
      <c r="E18" s="4" t="inlineStr">
        <is>
          <t>Translate forecast to tenant estimate.</t>
        </is>
      </c>
    </row>
    <row r="19" ht="22" customHeight="1">
      <c r="A19" s="3" t="inlineStr">
        <is>
          <t>Monthly estimate</t>
        </is>
      </c>
      <c r="B19" s="12">
        <f>B18/12</f>
        <v/>
      </c>
      <c r="C19" s="12">
        <f>C18/12</f>
        <v/>
      </c>
      <c r="D19" s="12">
        <f>C19-B19</f>
        <v/>
      </c>
      <c r="E19" s="4" t="inlineStr">
        <is>
          <t>Use in tenant estimate letter.</t>
        </is>
      </c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2" t="n"/>
      <c r="B21" s="2" t="n"/>
      <c r="C21" s="2" t="n"/>
      <c r="D21" s="2" t="n"/>
      <c r="E21" s="2" t="n"/>
    </row>
    <row r="22" ht="22" customHeight="1">
      <c r="A22" s="13" t="inlineStr">
        <is>
          <t>Risk Flags</t>
        </is>
      </c>
      <c r="B22" s="2" t="n"/>
      <c r="C22" s="2" t="n"/>
      <c r="D22" s="2" t="n"/>
      <c r="E22" s="2" t="n"/>
    </row>
    <row r="23" ht="22" customHeight="1">
      <c r="A23" s="3" t="inlineStr">
        <is>
          <t>High estimate change</t>
        </is>
      </c>
      <c r="B23" s="14">
        <f>IF(ABS(C18-B18)/B18&gt;0.1,"REVIEW","OK")</f>
        <v/>
      </c>
      <c r="C23" s="2" t="n"/>
      <c r="D23" s="2" t="n"/>
      <c r="E23" s="2" t="n"/>
    </row>
    <row r="24" ht="22" customHeight="1">
      <c r="A24" s="3" t="inlineStr">
        <is>
          <t>Low occupancy</t>
        </is>
      </c>
      <c r="B24" s="14">
        <f>IF(B10&lt;0.9,"REVIEW","OK")</f>
        <v/>
      </c>
      <c r="C24" s="2" t="n"/>
      <c r="D24" s="2" t="n"/>
      <c r="E24" s="2" t="n"/>
    </row>
    <row r="25" ht="22" customHeight="1">
      <c r="A25" s="3" t="inlineStr">
        <is>
          <t>Documentation packet</t>
        </is>
      </c>
      <c r="B25" s="14">
        <f>"Attach lease excerpt, GL export, rent roll, and reviewer sign-off"</f>
        <v/>
      </c>
      <c r="C25" s="2" t="n"/>
      <c r="D25" s="2" t="n"/>
      <c r="E25" s="2" t="n"/>
    </row>
    <row r="26" ht="22" customHeight="1"/>
    <row r="27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8">
    <mergeCell ref="B23:E23"/>
    <mergeCell ref="A4:E4"/>
    <mergeCell ref="A2:E2"/>
    <mergeCell ref="A1:E1"/>
    <mergeCell ref="B25:E25"/>
    <mergeCell ref="B24:E24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CAM Estimate Forecaster - How to use</t>
        </is>
      </c>
    </row>
    <row r="2">
      <c r="A2" s="4" t="inlineStr">
        <is>
          <t>Yellow cells are editable inputs. Blue cells calculate automatically.</t>
        </is>
      </c>
    </row>
    <row r="3">
      <c r="A3" s="4" t="inlineStr">
        <is>
          <t>Forecast next-year estimates by category using CPI and historical trends.</t>
        </is>
      </c>
    </row>
    <row r="4">
      <c r="A4" s="4" t="inlineStr">
        <is>
          <t>Replace the sample numbers with your property-level CAM pool, tenant area, building area, exclusions, and lease-specific factor.</t>
        </is>
      </c>
    </row>
    <row r="5">
      <c r="A5" s="4" t="inlineStr">
        <is>
          <t>Use the worked example section to document the position you plan to send to tenants.</t>
        </is>
      </c>
    </row>
    <row r="6">
      <c r="A6" s="4" t="inlineStr">
        <is>
          <t>Keep the source GL export, rent roll, signed lease excerpt, and reviewer approval with the final reconciliation package.</t>
        </is>
      </c>
    </row>
    <row r="7">
      <c r="A7" s="4" t="inlineStr">
        <is>
          <t>This workbook is an operating aid, not legal advice. Confirm final positions against the governing lease.</t>
        </is>
      </c>
    </row>
    <row r="8">
      <c r="A8" s="4" t="inlineStr">
        <is>
          <t>Need portfolio-scale CAM validation? Start a 30-day trial at https://app.capveri.com/auth/register.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CapVeri</dc:creator>
  <dc:title xmlns:dc="http://purl.org/dc/elements/1.1/">CAM Estimate Forecaster</dc:title>
  <dc:subject xmlns:dc="http://purl.org/dc/elements/1.1/">CAM budget forecasting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CapVeri</cp:lastModifiedBy>
</cp:coreProperties>
</file>