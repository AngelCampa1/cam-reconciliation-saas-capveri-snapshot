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000%"/>
    <numFmt numFmtId="166" formatCode="0.0%"/>
    <numFmt numFmtId="167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66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7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Normalize parcel-level tax changes before passing through CAM tax pools.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HCAD Tax Normalizer | CapVeri</t>
        </is>
      </c>
      <c r="B1" s="2" t="n"/>
      <c r="C1" s="2" t="n"/>
      <c r="D1" s="2" t="n"/>
      <c r="E1" s="2" t="n"/>
    </row>
    <row r="2" ht="22" customHeight="1">
      <c r="A2" s="6" t="inlineStr">
        <is>
          <t>Normalize parcel-level tax changes before passing through CAM tax pools.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Prior tax assessment</t>
        </is>
      </c>
      <c r="B5" s="7" t="n">
        <v>8500000</v>
      </c>
      <c r="C5" s="2" t="n"/>
      <c r="D5" s="2" t="n"/>
      <c r="E5" s="2" t="n"/>
    </row>
    <row r="6" ht="22" customHeight="1">
      <c r="A6" s="4" t="inlineStr">
        <is>
          <t>Current HCAD assessment</t>
        </is>
      </c>
      <c r="B6" s="7" t="n">
        <v>9300000</v>
      </c>
      <c r="C6" s="2" t="n"/>
      <c r="D6" s="2" t="n"/>
      <c r="E6" s="2" t="n"/>
    </row>
    <row r="7" ht="22" customHeight="1">
      <c r="A7" s="4" t="inlineStr">
        <is>
          <t>Tax rate</t>
        </is>
      </c>
      <c r="B7" s="8" t="n">
        <v>0.0215</v>
      </c>
      <c r="C7" s="2" t="n"/>
      <c r="D7" s="2" t="n"/>
      <c r="E7" s="2" t="n"/>
    </row>
    <row r="8" ht="22" customHeight="1">
      <c r="A8" s="4" t="inlineStr">
        <is>
          <t>Protest reduction estimate</t>
        </is>
      </c>
      <c r="B8" s="9" t="n">
        <v>0.08</v>
      </c>
      <c r="C8" s="2" t="n"/>
      <c r="D8" s="2" t="n"/>
      <c r="E8" s="2" t="n"/>
    </row>
    <row r="9" ht="22" customHeight="1">
      <c r="A9" s="4" t="inlineStr">
        <is>
          <t>Tenant share</t>
        </is>
      </c>
      <c r="B9" s="10" t="n">
        <v>0.08500000000000001</v>
      </c>
      <c r="C9" s="2" t="n"/>
      <c r="D9" s="2" t="n"/>
      <c r="E9" s="2" t="n"/>
    </row>
    <row r="10" ht="22" customHeight="1">
      <c r="A10" s="4" t="inlineStr">
        <is>
          <t>Prior-year tax recoveries</t>
        </is>
      </c>
      <c r="B10" s="7" t="n">
        <v>152000</v>
      </c>
      <c r="C10" s="2" t="n"/>
      <c r="D10" s="2" t="n"/>
      <c r="E10" s="2" t="n"/>
    </row>
    <row r="11" ht="22" customHeight="1">
      <c r="A11" s="4" t="inlineStr">
        <is>
          <t>Escrow/estimate billed</t>
        </is>
      </c>
      <c r="B11" s="7" t="n">
        <v>160000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1" t="inlineStr">
        <is>
          <t>Metric</t>
        </is>
      </c>
      <c r="B15" s="11" t="inlineStr">
        <is>
          <t>Base</t>
        </is>
      </c>
      <c r="C15" s="11" t="inlineStr">
        <is>
          <t>Adjusted</t>
        </is>
      </c>
      <c r="D15" s="11" t="inlineStr">
        <is>
          <t>Variance</t>
        </is>
      </c>
      <c r="E15" s="11" t="inlineStr">
        <is>
          <t>Review note</t>
        </is>
      </c>
    </row>
    <row r="16" ht="22" customHeight="1">
      <c r="A16" s="3" t="inlineStr">
        <is>
          <t>Prior tax amount</t>
        </is>
      </c>
      <c r="B16" s="12">
        <f>B5*B7</f>
        <v/>
      </c>
      <c r="C16" s="12">
        <f>B6*B7</f>
        <v/>
      </c>
      <c r="D16" s="12">
        <f>C16-B16</f>
        <v/>
      </c>
      <c r="E16" s="4" t="inlineStr">
        <is>
          <t>Calculate raw assessment-driven change.</t>
        </is>
      </c>
    </row>
    <row r="17" ht="22" customHeight="1">
      <c r="A17" s="3" t="inlineStr">
        <is>
          <t>Normalized current tax</t>
        </is>
      </c>
      <c r="B17" s="13">
        <f>C16</f>
        <v/>
      </c>
      <c r="C17" s="13">
        <f>B6*(1-B8)*B7</f>
        <v/>
      </c>
      <c r="D17" s="13">
        <f>C17-B17</f>
        <v/>
      </c>
      <c r="E17" s="4" t="inlineStr">
        <is>
          <t>Model expected protest effect.</t>
        </is>
      </c>
    </row>
    <row r="18" ht="22" customHeight="1">
      <c r="A18" s="3" t="inlineStr">
        <is>
          <t>Tenant tax share</t>
        </is>
      </c>
      <c r="B18" s="13">
        <f>B17*B9</f>
        <v/>
      </c>
      <c r="C18" s="13">
        <f>C17*B9</f>
        <v/>
      </c>
      <c r="D18" s="13">
        <f>C18-B18</f>
        <v/>
      </c>
      <c r="E18" s="4" t="inlineStr">
        <is>
          <t>Tenant impact after normalization.</t>
        </is>
      </c>
    </row>
    <row r="19" ht="22" customHeight="1">
      <c r="A19" s="3" t="inlineStr">
        <is>
          <t>True-up vs estimate</t>
        </is>
      </c>
      <c r="B19" s="13">
        <f>B17-B11</f>
        <v/>
      </c>
      <c r="C19" s="13">
        <f>C17-B11</f>
        <v/>
      </c>
      <c r="D19" s="13">
        <f>C19-B19</f>
        <v/>
      </c>
      <c r="E19" s="4" t="inlineStr">
        <is>
          <t>Compare actual/normalized tax to billed estimate.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4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Assessment jump</t>
        </is>
      </c>
      <c r="B23" s="15">
        <f>IF((B6-B5)/B5&gt;0.1,"REVIEW","OK")</f>
        <v/>
      </c>
      <c r="C23" s="2" t="n"/>
      <c r="D23" s="2" t="n"/>
      <c r="E23" s="2" t="n"/>
    </row>
    <row r="24" ht="22" customHeight="1">
      <c r="A24" s="3" t="inlineStr">
        <is>
          <t>Protest assumption</t>
        </is>
      </c>
      <c r="B24" s="15">
        <f>IF(B8&gt;0,"DOCUMENT","OK")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5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HCAD Tax Normalizer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Normalize parcel-level tax changes before passing through CAM tax pools.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HCAD Tax Normalizer</dc:title>
  <dc:subject xmlns:dc="http://purl.org/dc/elements/1.1/">property tax normalization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