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0" fontId="0" fillId="4" borderId="0" applyAlignment="1" applyProtection="1" pivotButton="0" quotePrefix="0" xfId="0">
      <alignment vertical="center" wrapText="1"/>
      <protection locked="0" hidden="0"/>
    </xf>
    <xf numFmtId="164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Compare signed lease clauses, abstracts, and reconciliation inputs in one review grid.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Lease Abstract Discrepancy Matrix | CapVeri</t>
        </is>
      </c>
      <c r="B1" s="2" t="n"/>
      <c r="C1" s="2" t="n"/>
      <c r="D1" s="2" t="n"/>
      <c r="E1" s="2" t="n"/>
    </row>
    <row r="2" ht="22" customHeight="1">
      <c r="A2" s="6" t="inlineStr">
        <is>
          <t>Compare signed lease clauses, abstracts, and reconciliation inputs in one review grid.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Signed lease recovery share</t>
        </is>
      </c>
      <c r="B5" s="7" t="n">
        <v>0.08500000000000001</v>
      </c>
      <c r="C5" s="2" t="n"/>
      <c r="D5" s="2" t="n"/>
      <c r="E5" s="2" t="n"/>
    </row>
    <row r="6" ht="22" customHeight="1">
      <c r="A6" s="4" t="inlineStr">
        <is>
          <t>Abstract recovery share</t>
        </is>
      </c>
      <c r="B6" s="7" t="n">
        <v>0.08749999999999999</v>
      </c>
      <c r="C6" s="2" t="n"/>
      <c r="D6" s="2" t="n"/>
      <c r="E6" s="2" t="n"/>
    </row>
    <row r="7" ht="22" customHeight="1">
      <c r="A7" s="4" t="inlineStr">
        <is>
          <t>Lease cap rate</t>
        </is>
      </c>
      <c r="B7" s="8" t="n">
        <v>0.05</v>
      </c>
      <c r="C7" s="2" t="n"/>
      <c r="D7" s="2" t="n"/>
      <c r="E7" s="2" t="n"/>
    </row>
    <row r="8" ht="22" customHeight="1">
      <c r="A8" s="4" t="inlineStr">
        <is>
          <t>Abstract cap rate</t>
        </is>
      </c>
      <c r="B8" s="8" t="n">
        <v>0</v>
      </c>
      <c r="C8" s="2" t="n"/>
      <c r="D8" s="2" t="n"/>
      <c r="E8" s="2" t="n"/>
    </row>
    <row r="9" ht="22" customHeight="1">
      <c r="A9" s="4" t="inlineStr">
        <is>
          <t>Recoverable CAM pool</t>
        </is>
      </c>
      <c r="B9" s="9" t="n">
        <v>450000</v>
      </c>
      <c r="C9" s="2" t="n"/>
      <c r="D9" s="2" t="n"/>
      <c r="E9" s="2" t="n"/>
    </row>
    <row r="10" ht="22" customHeight="1">
      <c r="A10" s="4" t="inlineStr">
        <is>
          <t>Excluded expenses in lease</t>
        </is>
      </c>
      <c r="B10" s="9" t="n">
        <v>65000</v>
      </c>
      <c r="C10" s="2" t="n"/>
      <c r="D10" s="2" t="n"/>
      <c r="E10" s="2" t="n"/>
    </row>
    <row r="11" ht="22" customHeight="1">
      <c r="A11" s="4" t="inlineStr">
        <is>
          <t>Excluded expenses in abstract</t>
        </is>
      </c>
      <c r="B11" s="9" t="n">
        <v>25000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Share variance</t>
        </is>
      </c>
      <c r="B16" s="11">
        <f>B6-B5</f>
        <v/>
      </c>
      <c r="C16" s="11">
        <f>ABS(B6-B5)</f>
        <v/>
      </c>
      <c r="D16" s="11">
        <f>C16-B16</f>
        <v/>
      </c>
      <c r="E16" s="4" t="inlineStr">
        <is>
          <t>Any share mismatch needs source review.</t>
        </is>
      </c>
    </row>
    <row r="17" ht="22" customHeight="1">
      <c r="A17" s="3" t="inlineStr">
        <is>
          <t>Cap variance</t>
        </is>
      </c>
      <c r="B17" s="12">
        <f>B8-B7</f>
        <v/>
      </c>
      <c r="C17" s="12">
        <f>ABS(B8-B7)</f>
        <v/>
      </c>
      <c r="D17" s="12">
        <f>C17-B17</f>
        <v/>
      </c>
      <c r="E17" s="4" t="inlineStr">
        <is>
          <t>Missing cap language creates billing exposure.</t>
        </is>
      </c>
    </row>
    <row r="18" ht="22" customHeight="1">
      <c r="A18" s="3" t="inlineStr">
        <is>
          <t>Exclusion variance</t>
        </is>
      </c>
      <c r="B18" s="12">
        <f>B11-B10</f>
        <v/>
      </c>
      <c r="C18" s="12">
        <f>ABS(B11-B10)</f>
        <v/>
      </c>
      <c r="D18" s="12">
        <f>C18-B18</f>
        <v/>
      </c>
      <c r="E18" s="4" t="inlineStr">
        <is>
          <t>Compare excluded category mapping.</t>
        </is>
      </c>
    </row>
    <row r="19" ht="22" customHeight="1">
      <c r="A19" s="3" t="inlineStr">
        <is>
          <t>Potential exposure</t>
        </is>
      </c>
      <c r="B19" s="12">
        <f>B9*(B16+B17)+B18</f>
        <v/>
      </c>
      <c r="C19" s="12">
        <f>B9*C16+B18</f>
        <v/>
      </c>
      <c r="D19" s="12">
        <f>C19-B19</f>
        <v/>
      </c>
      <c r="E19" s="4" t="inlineStr">
        <is>
          <t>Estimate dollar impact of abstract drift.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Share mismatch</t>
        </is>
      </c>
      <c r="B23" s="14">
        <f>IF(C16&gt;0.0001,"REVIEW","OK")</f>
        <v/>
      </c>
      <c r="C23" s="2" t="n"/>
      <c r="D23" s="2" t="n"/>
      <c r="E23" s="2" t="n"/>
    </row>
    <row r="24" ht="22" customHeight="1">
      <c r="A24" s="3" t="inlineStr">
        <is>
          <t>Missing cap</t>
        </is>
      </c>
      <c r="B24" s="14">
        <f>IF(AND(B7&gt;0,B8=0),"REVIEW","OK")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Lease Abstract Discrepancy Matrix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Compare signed lease clauses, abstracts, and reconciliation inputs in one review grid.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Lease Abstract Discrepancy Matrix</dc:title>
  <dc:subject xmlns:dc="http://purl.org/dc/elements/1.1/">lease abstract drift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