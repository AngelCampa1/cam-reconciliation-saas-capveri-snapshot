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Compare gross, net, capped, and excluded-base admin fee methods.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Admin Fee Calculator | CapVeri</t>
        </is>
      </c>
      <c r="B1" s="2" t="n"/>
      <c r="C1" s="2" t="n"/>
      <c r="D1" s="2" t="n"/>
      <c r="E1" s="2" t="n"/>
    </row>
    <row r="2" ht="22" customHeight="1">
      <c r="A2" s="6" t="inlineStr">
        <is>
          <t>Compare gross, net, capped, and excluded-base admin fee methods.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Recoverable CAM before admin</t>
        </is>
      </c>
      <c r="B5" s="7" t="n">
        <v>450000</v>
      </c>
      <c r="C5" s="2" t="n"/>
      <c r="D5" s="2" t="n"/>
      <c r="E5" s="2" t="n"/>
    </row>
    <row r="6" ht="22" customHeight="1">
      <c r="A6" s="4" t="inlineStr">
        <is>
          <t>Excluded expense base</t>
        </is>
      </c>
      <c r="B6" s="7" t="n">
        <v>65000</v>
      </c>
      <c r="C6" s="2" t="n"/>
      <c r="D6" s="2" t="n"/>
      <c r="E6" s="2" t="n"/>
    </row>
    <row r="7" ht="22" customHeight="1">
      <c r="A7" s="4" t="inlineStr">
        <is>
          <t>Admin fee rate</t>
        </is>
      </c>
      <c r="B7" s="8" t="n">
        <v>0.15</v>
      </c>
      <c r="C7" s="2" t="n"/>
      <c r="D7" s="2" t="n"/>
      <c r="E7" s="2" t="n"/>
    </row>
    <row r="8" ht="22" customHeight="1">
      <c r="A8" s="4" t="inlineStr">
        <is>
          <t>Fee cap amount</t>
        </is>
      </c>
      <c r="B8" s="7" t="n">
        <v>50000</v>
      </c>
      <c r="C8" s="2" t="n"/>
      <c r="D8" s="2" t="n"/>
      <c r="E8" s="2" t="n"/>
    </row>
    <row r="9" ht="22" customHeight="1">
      <c r="A9" s="4" t="inlineStr">
        <is>
          <t>Prior-year admin fee</t>
        </is>
      </c>
      <c r="B9" s="7" t="n">
        <v>42000</v>
      </c>
      <c r="C9" s="2" t="n"/>
      <c r="D9" s="2" t="n"/>
      <c r="E9" s="2" t="n"/>
    </row>
    <row r="10" ht="22" customHeight="1">
      <c r="A10" s="4" t="inlineStr">
        <is>
          <t>Tenant pro-rata share</t>
        </is>
      </c>
      <c r="B10" s="9" t="n">
        <v>0.08500000000000001</v>
      </c>
      <c r="C10" s="2" t="n"/>
      <c r="D10" s="2" t="n"/>
      <c r="E10" s="2" t="n"/>
    </row>
    <row r="11" ht="22" customHeight="1">
      <c r="A11" s="4" t="inlineStr">
        <is>
          <t>Negotiated reduction</t>
        </is>
      </c>
      <c r="B11" s="8" t="n">
        <v>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Gross fee</t>
        </is>
      </c>
      <c r="B16" s="11">
        <f>B5*B7</f>
        <v/>
      </c>
      <c r="C16" s="11">
        <f>MIN(B5*B7,B8)</f>
        <v/>
      </c>
      <c r="D16" s="11">
        <f>C16-B16</f>
        <v/>
      </c>
      <c r="E16" s="4" t="inlineStr">
        <is>
          <t>Compare uncapped and capped admin fee.</t>
        </is>
      </c>
    </row>
    <row r="17" ht="22" customHeight="1">
      <c r="A17" s="3" t="inlineStr">
        <is>
          <t>Net-of-exclusions fee</t>
        </is>
      </c>
      <c r="B17" s="12">
        <f>(B5-B6)*B7</f>
        <v/>
      </c>
      <c r="C17" s="12">
        <f>MIN((B5-B6)*B7,B8)</f>
        <v/>
      </c>
      <c r="D17" s="12">
        <f>C17-B17</f>
        <v/>
      </c>
      <c r="E17" s="4" t="inlineStr">
        <is>
          <t>Use when lease excludes tax or insurance from fee base.</t>
        </is>
      </c>
    </row>
    <row r="18" ht="22" customHeight="1">
      <c r="A18" s="3" t="inlineStr">
        <is>
          <t>Tenant share</t>
        </is>
      </c>
      <c r="B18" s="12">
        <f>B16*B10</f>
        <v/>
      </c>
      <c r="C18" s="12">
        <f>C17*B10*(1-B11)</f>
        <v/>
      </c>
      <c r="D18" s="12">
        <f>C18-B18</f>
        <v/>
      </c>
      <c r="E18" s="4" t="inlineStr">
        <is>
          <t>Apply share and negotiated reduction.</t>
        </is>
      </c>
    </row>
    <row r="19" ht="22" customHeight="1">
      <c r="A19" s="3" t="inlineStr">
        <is>
          <t>Year-over-year variance</t>
        </is>
      </c>
      <c r="B19" s="12">
        <f>B16-B9</f>
        <v/>
      </c>
      <c r="C19" s="12">
        <f>C17-B9</f>
        <v/>
      </c>
      <c r="D19" s="12">
        <f>C19-B19</f>
        <v/>
      </c>
      <c r="E19" s="4" t="inlineStr">
        <is>
          <t>Explain material fee movement.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Fee base restriction</t>
        </is>
      </c>
      <c r="B23" s="14">
        <f>IF(B6&gt;0,"REVIEW EXCLUSIONS","OK")</f>
        <v/>
      </c>
      <c r="C23" s="2" t="n"/>
      <c r="D23" s="2" t="n"/>
      <c r="E23" s="2" t="n"/>
    </row>
    <row r="24" ht="22" customHeight="1">
      <c r="A24" s="3" t="inlineStr">
        <is>
          <t>Cap binding</t>
        </is>
      </c>
      <c r="B24" s="14">
        <f>IF(B16&gt;B8,"CAP APPLIES","OK")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Admin Fee Calculator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Compare gross, net, capped, and excluded-base admin fee methods.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Admin Fee Calculator</dc:title>
  <dc:subject xmlns:dc="http://purl.org/dc/elements/1.1/">admin fee methods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